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-thai-tram" sheetId="1" r:id="rId4"/>
    <sheet state="visible" name="danh-muc-linh-kien" sheetId="2" r:id="rId5"/>
  </sheets>
  <definedNames/>
  <calcPr/>
  <extLst>
    <ext uri="GoogleSheetsCustomDataVersion2">
      <go:sheetsCustomData xmlns:go="http://customooxmlschemas.google.com/" r:id="rId6" roundtripDataChecksum="wzRIharOrmLsEFkOvmcXGwJAabV0cuWfaMR2HxJQ0Ac="/>
    </ext>
  </extLst>
</workbook>
</file>

<file path=xl/sharedStrings.xml><?xml version="1.0" encoding="utf-8"?>
<sst xmlns="http://schemas.openxmlformats.org/spreadsheetml/2006/main" count="48" uniqueCount="36">
  <si>
    <t>ma_tram</t>
  </si>
  <si>
    <t>ma_linh_kien</t>
  </si>
  <si>
    <t>dung_luong_ram</t>
  </si>
  <si>
    <t>ngay_lap_dat</t>
  </si>
  <si>
    <t>ten_thiet_bi</t>
  </si>
  <si>
    <t>ma_linh_kien_sach</t>
  </si>
  <si>
    <t>don_gia</t>
  </si>
  <si>
    <t>loai_storage</t>
  </si>
  <si>
    <t>ST01</t>
  </si>
  <si>
    <t>LK02</t>
  </si>
  <si>
    <t>LK01</t>
  </si>
  <si>
    <t>Raspberry Pi 4 Model B</t>
  </si>
  <si>
    <t>SSD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</si>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</sst>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5" width="18.0"/>
    <col customWidth="1" min="6" max="6" width="21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2" t="s">
        <v>4</v>
      </c>
    </row>
    <row r="2">
      <c r="A2" s="3" t="s">
        <v>8</v>
      </c>
      <c r="B2" s="3" t="s">
        <v>9</v>
      </c>
      <c r="C2" s="3">
        <v>16.0</v>
      </c>
      <c r="D2" s="4">
        <v>46093.0</v>
      </c>
      <c r="E2" s="3" t="str">
        <f t="shared" ref="E2:E11" si="1">TRIM(B2)</f>
        <v>LK02</v>
      </c>
      <c r="F2" s="3" t="str">
        <f>VLOOKUP(E2,'danh-muc-linh-kien'!$A$2:$D$7,2,FALSE)</f>
        <v>Intel NUC i3</v>
      </c>
    </row>
    <row r="3">
      <c r="A3" s="3" t="s">
        <v>23</v>
      </c>
      <c r="B3" s="3" t="s">
        <v>24</v>
      </c>
      <c r="C3" s="3">
        <v>4.0</v>
      </c>
      <c r="D3" s="4">
        <v>46096.0</v>
      </c>
      <c r="E3" s="3" t="str">
        <f t="shared" si="1"/>
        <v>LK01</v>
      </c>
      <c r="F3" s="3" t="str">
        <f>VLOOKUP(E3,'danh-muc-linh-kien'!$A$2:$D$7,2,FALSE)</f>
        <v>Raspberry Pi 4 Model B</v>
      </c>
    </row>
    <row r="4">
      <c r="A4" s="3" t="s">
        <v>25</v>
      </c>
      <c r="B4" s="3" t="s">
        <v>26</v>
      </c>
      <c r="C4" s="3">
        <v>8.0</v>
      </c>
      <c r="D4" s="4">
        <v>46114.0</v>
      </c>
      <c r="E4" s="3" t="str">
        <f t="shared" si="1"/>
        <v>LK05</v>
      </c>
      <c r="F4" s="3" t="str">
        <f>VLOOKUP(E4,'danh-muc-linh-kien'!$A$2:$D$7,2,FALSE)</f>
        <v>Mini PC Fanless N100</v>
      </c>
    </row>
    <row r="5">
      <c r="A5" s="3" t="s">
        <v>27</v>
      </c>
      <c r="B5" s="3" t="s">
        <v>14</v>
      </c>
      <c r="C5" s="3">
        <v>8.0</v>
      </c>
      <c r="D5" s="4">
        <v>46121.0</v>
      </c>
      <c r="E5" s="3" t="str">
        <f t="shared" si="1"/>
        <v>LK03</v>
      </c>
      <c r="F5" s="3" t="str">
        <f>VLOOKUP(E5,'danh-muc-linh-kien'!$A$2:$D$7,2,FALSE)</f>
        <v>Orange Pi 5</v>
      </c>
    </row>
    <row r="6">
      <c r="A6" s="3" t="s">
        <v>28</v>
      </c>
      <c r="B6" s="3" t="s">
        <v>29</v>
      </c>
      <c r="C6" s="3">
        <v>16.0</v>
      </c>
      <c r="D6" s="4">
        <v>46133.0</v>
      </c>
      <c r="E6" s="3" t="str">
        <f t="shared" si="1"/>
        <v>LK02</v>
      </c>
      <c r="F6" s="3" t="str">
        <f>VLOOKUP(E6,'danh-muc-linh-kien'!$A$2:$D$7,2,FALSE)</f>
        <v>Intel NUC i3</v>
      </c>
    </row>
    <row r="7">
      <c r="A7" s="3" t="s">
        <v>30</v>
      </c>
      <c r="B7" s="3" t="s">
        <v>21</v>
      </c>
      <c r="C7" s="3">
        <v>4.0</v>
      </c>
      <c r="D7" s="4">
        <v>46147.0</v>
      </c>
      <c r="E7" s="3" t="str">
        <f t="shared" si="1"/>
        <v>LK06</v>
      </c>
      <c r="F7" s="3" t="str">
        <f>VLOOKUP(E7,'danh-muc-linh-kien'!$A$2:$D$7,2,FALSE)</f>
        <v>Synology DS220j NAS</v>
      </c>
    </row>
    <row r="8">
      <c r="A8" s="3" t="s">
        <v>31</v>
      </c>
      <c r="B8" s="3" t="s">
        <v>10</v>
      </c>
      <c r="C8" s="3">
        <v>4.0</v>
      </c>
      <c r="D8" s="4">
        <v>46160.0</v>
      </c>
      <c r="E8" s="3" t="str">
        <f t="shared" si="1"/>
        <v>LK01</v>
      </c>
      <c r="F8" s="3" t="str">
        <f>VLOOKUP(E8,'danh-muc-linh-kien'!$A$2:$D$7,2,FALSE)</f>
        <v>Raspberry Pi 4 Model B</v>
      </c>
    </row>
    <row r="9">
      <c r="A9" s="3" t="s">
        <v>32</v>
      </c>
      <c r="B9" s="3" t="s">
        <v>33</v>
      </c>
      <c r="C9" s="3">
        <v>8.0</v>
      </c>
      <c r="D9" s="4">
        <v>46174.0</v>
      </c>
      <c r="E9" s="3" t="str">
        <f t="shared" si="1"/>
        <v>LK04</v>
      </c>
      <c r="F9" s="3" t="str">
        <f>VLOOKUP(E9,'danh-muc-linh-kien'!$A$2:$D$7,2,FALSE)</f>
        <v>Dell Optiplex Micro</v>
      </c>
    </row>
    <row r="10">
      <c r="A10" s="3" t="s">
        <v>34</v>
      </c>
      <c r="B10" s="3" t="s">
        <v>14</v>
      </c>
      <c r="C10" s="3">
        <v>8.0</v>
      </c>
      <c r="D10" s="4">
        <v>46187.0</v>
      </c>
      <c r="E10" s="3" t="str">
        <f t="shared" si="1"/>
        <v>LK03</v>
      </c>
      <c r="F10" s="3" t="str">
        <f>VLOOKUP(E10,'danh-muc-linh-kien'!$A$2:$D$7,2,FALSE)</f>
        <v>Orange Pi 5</v>
      </c>
    </row>
    <row r="11">
      <c r="A11" s="3" t="s">
        <v>35</v>
      </c>
      <c r="B11" s="3" t="s">
        <v>19</v>
      </c>
      <c r="C11" s="3">
        <v>8.0</v>
      </c>
      <c r="D11" s="4">
        <v>46206.0</v>
      </c>
      <c r="E11" s="3" t="str">
        <f t="shared" si="1"/>
        <v>LK05</v>
      </c>
      <c r="F11" s="3" t="str">
        <f>VLOOKUP(E11,'danh-muc-linh-kien'!$A$2:$D$7,2,FALSE)</f>
        <v>Mini PC Fanless N100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5" width="20.57"/>
    <col customWidth="1" min="6" max="6" width="14.71"/>
    <col customWidth="1" min="7" max="26" width="8.71"/>
  </cols>
  <sheetData>
    <row r="1">
      <c r="A1" s="1" t="s">
        <v>1</v>
      </c>
      <c r="B1" s="1" t="s">
        <v>4</v>
      </c>
      <c r="C1" s="1" t="s">
        <v>6</v>
      </c>
      <c r="D1" s="1" t="s">
        <v>7</v>
      </c>
      <c r="E1" s="2"/>
      <c r="F1" s="2"/>
    </row>
    <row r="2">
      <c r="A2" s="3" t="s">
        <v>10</v>
      </c>
      <c r="B2" s="3" t="s">
        <v>11</v>
      </c>
      <c r="C2" s="5">
        <v>1450000.0</v>
      </c>
      <c r="D2" s="3" t="s">
        <v>12</v>
      </c>
    </row>
    <row r="3">
      <c r="A3" s="3" t="s">
        <v>9</v>
      </c>
      <c r="B3" s="3" t="s">
        <v>13</v>
      </c>
      <c r="C3" s="5">
        <v>6200000.0</v>
      </c>
      <c r="D3" s="3" t="s">
        <v>12</v>
      </c>
    </row>
    <row r="4">
      <c r="A4" s="3" t="s">
        <v>14</v>
      </c>
      <c r="B4" s="3" t="s">
        <v>15</v>
      </c>
      <c r="C4" s="5">
        <v>2300000.0</v>
      </c>
      <c r="D4" s="3" t="s">
        <v>12</v>
      </c>
    </row>
    <row r="5">
      <c r="A5" s="3" t="s">
        <v>16</v>
      </c>
      <c r="B5" s="3" t="s">
        <v>17</v>
      </c>
      <c r="C5" s="5">
        <v>5400000.0</v>
      </c>
      <c r="D5" s="3" t="s">
        <v>18</v>
      </c>
    </row>
    <row r="6">
      <c r="A6" s="3" t="s">
        <v>19</v>
      </c>
      <c r="B6" s="3" t="s">
        <v>20</v>
      </c>
      <c r="C6" s="5">
        <v>4200000.0</v>
      </c>
      <c r="D6" s="3" t="s">
        <v>12</v>
      </c>
    </row>
    <row r="7">
      <c r="A7" s="3" t="s">
        <v>21</v>
      </c>
      <c r="B7" s="3" t="s">
        <v>22</v>
      </c>
      <c r="C7" s="5">
        <v>3900000.0</v>
      </c>
      <c r="D7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2026-10-13T00:17:08Z</dcterms:created>
  <dc:creator>openpyxl</dc:creator>
</cp:coreProperties>
</file>